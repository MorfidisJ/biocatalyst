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otis\Downloads\"/>
    </mc:Choice>
  </mc:AlternateContent>
  <xr:revisionPtr revIDLastSave="0" documentId="13_ncr:1_{F152C6E0-BA16-48B6-A7E9-E6988FF427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raft Agenda" sheetId="1" r:id="rId1"/>
  </sheets>
  <definedNames>
    <definedName name="_xlnm.Print_Area" localSheetId="0">'Draft Agenda'!$A$1:$E$26</definedName>
    <definedName name="_xlnm.Print_Titles" localSheetId="0">'Draft Agenda'!$5:$5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  <c r="A20" i="1" s="1"/>
  <c r="B20" i="1" s="1"/>
  <c r="A21" i="1" s="1"/>
  <c r="B21" i="1" s="1"/>
  <c r="A22" i="1" s="1"/>
  <c r="B22" i="1" s="1"/>
  <c r="A23" i="1" s="1"/>
  <c r="B23" i="1" s="1"/>
  <c r="A24" i="1" s="1"/>
  <c r="B24" i="1" s="1"/>
  <c r="A25" i="1" s="1"/>
  <c r="B25" i="1" s="1"/>
  <c r="A26" i="1" s="1"/>
  <c r="B26" i="1" s="1"/>
</calcChain>
</file>

<file path=xl/sharedStrings.xml><?xml version="1.0" encoding="utf-8"?>
<sst xmlns="http://schemas.openxmlformats.org/spreadsheetml/2006/main" count="68" uniqueCount="67">
  <si>
    <t>Bio Catalyst 2026</t>
  </si>
  <si>
    <t>Draft Agenda  ·  Παρασκευή 23 Οκτωβρίου 2026  ·  Πανεπιστήμιο Ιωαννίνων</t>
  </si>
  <si>
    <t>iGEM Ioannina × Startup Greece Week 2026</t>
  </si>
  <si>
    <t>Έναρξη</t>
  </si>
  <si>
    <t>Λήξη</t>
  </si>
  <si>
    <t>Ενότητα</t>
  </si>
  <si>
    <t>Περιγραφή</t>
  </si>
  <si>
    <t>Ομιλητές</t>
  </si>
  <si>
    <t>Διάρκεια</t>
  </si>
  <si>
    <t>Υποδοχή | Σκανάρισμα QR Tickets</t>
  </si>
  <si>
    <t>Καλωσόρισμα | Joist</t>
  </si>
  <si>
    <t>Τι είναι το Bio Catalyst, ανάλυση του προγράμματος, ευχαριστίες στους χορηγούς και παρουσίαση του Joist ως χώρου καινοτομίας στα Ιωάννινα.</t>
  </si>
  <si>
    <t>Οργανωτική επιτροπή, Joist Innovation Park</t>
  </si>
  <si>
    <t>iGEM Greece</t>
  </si>
  <si>
    <t>Παρουσίαση των φετινών project των ελληνικών ομάδων iGEM.</t>
  </si>
  <si>
    <t>iGEM Ioannina, iGEM UniCrete, iGEM Space Hellas, iGEM Athens</t>
  </si>
  <si>
    <t>Φοιτητικές | Νέες Startup</t>
  </si>
  <si>
    <t>Ανάδειξη φοιτητικών startups στον χώρο της βιοχημείας και της γενικής επιχειρηματικότητας.</t>
  </si>
  <si>
    <t>Unimates, Scilend</t>
  </si>
  <si>
    <t>Biotechnology Entrepreneurship Summit</t>
  </si>
  <si>
    <t>Παρουσίαση του Πανελλήνιου Συνεδρίου Επιχειρηματικής Βιοτεχνολογίας.</t>
  </si>
  <si>
    <t>Πανελλήνιο Συνέδριο Επιχειρηματικής Βιοτεχνολογίας</t>
  </si>
  <si>
    <t>Round Table</t>
  </si>
  <si>
    <t>Συζήτηση φοιτητικών ομάδων για την οργάνωση δραστηριοτήτων στα Ιωάννινα γύρω από την επιχειρηματικότητα.</t>
  </si>
  <si>
    <t>Πανελλήνιο Φοιτητικό Συνέδριο Βιοεπιστημών, Ioannina Science Festival, AIESEC Ioannina, Limbic Structures of the Brain Summer School</t>
  </si>
  <si>
    <t>Local Scale Up | Success Story</t>
  </si>
  <si>
    <t>Μια επιχείρηση των Ιωαννίνων μιλάει για τη δική της πορεία μέχρι να φτάσει στην κλιμάκωση.</t>
  </si>
  <si>
    <t>Snappi</t>
  </si>
  <si>
    <t>How to "Start-Up"</t>
  </si>
  <si>
    <t>Προσκεκλημένοι ομιλητές, ακαδημαϊκοί και επαγγελματίες, δίνουν τα θεμέλια του πώς κατασκευάζεις μια startup.</t>
  </si>
  <si>
    <t>Στελέχη συμβουλευτικών εταιρειών. Βρισκόμαστε σε επικοινωνία με διάφορες συμβουλευτικές εταιρείες.</t>
  </si>
  <si>
    <t>How to make your BMC</t>
  </si>
  <si>
    <t>Έναρξη καθοδήγησης και διαγωνισμού. Οι ομιλητές καθοδηγούν τους διαγωνιζόμενους στην κατασκευή ενός robust business plan, με βάση όσα έμαθαν.</t>
  </si>
  <si>
    <t>Μονάδα Καινοτομίας και Επιχειρηματικότητας (ΜΟΚΕ) Πανεπιστημίου Ιωαννίνων, με τον Γιώργο Γκολέτση, Αναπληρωτή Καθηγητή Οικονομικών Επιστημών, και στελέχη συμβουλευτικών εταιρειών</t>
  </si>
  <si>
    <t>Lunch Break | BMC Workshop | Networking</t>
  </si>
  <si>
    <t>Παράλληλη δράση του BMC Workshop: κατασκευή BMC και pitch decks για παρουσίαση στους παρευρισκόμενους.</t>
  </si>
  <si>
    <t>ΜΟΚΕ Πανεπιστημίου Ιωαννίνων και στελέχη συμβουλευτικών εταιρειών</t>
  </si>
  <si>
    <t>Funding Session</t>
  </si>
  <si>
    <t>Καθηγητές και τραπεζικά στελέχη καθοδηγούν τους φοιτητές στο πώς να χρηματοδοτήσουν την ιδέα τους (κυρίως startup).</t>
  </si>
  <si>
    <t>Ρούλα Μπαχταλιά, Head of Venture Banking, Eurobank</t>
  </si>
  <si>
    <t>Νομικό Πλαίσιο | Κατοχύρωση Πατέντας</t>
  </si>
  <si>
    <t>Consulting session για νομικά και επιχειρηματικά θέματα που αφορούν μια startup.</t>
  </si>
  <si>
    <t>Θοδωρής Ζέρβας, Ιδρυτής, startuplawyer.gr</t>
  </si>
  <si>
    <t>Escape to Industry</t>
  </si>
  <si>
    <t>Coffee Break | Έλεγχος των BMC Projects</t>
  </si>
  <si>
    <t>Καριέρα στη Βιοοικονομία</t>
  </si>
  <si>
    <t>Ομιλητές και επαγγελματίες εξηγούν πώς κάποιος χτίζει κάτι στον τομέα.</t>
  </si>
  <si>
    <t>Panathēnea</t>
  </si>
  <si>
    <t>Εκπρόσωπος του γνωστού ελληνικού φεστιβάλ καινοτομίας μιλάει για την επιχειρηματικότητα στην Ελλάδα και την ανάπτυξη των ελληνικών startups σε ευρωπαϊκό επίπεδο.</t>
  </si>
  <si>
    <t>BIOEPIXEIREIN</t>
  </si>
  <si>
    <t>Παρουσίαση του μεταπτυχιακού προγράμματος από καθηγητή βιοχημείας.</t>
  </si>
  <si>
    <t>Δημήτριος Λεωνίδας, Καθηγητής Βιοχημείας, Πανεπιστήμιο Θεσσαλίας</t>
  </si>
  <si>
    <t>Research Anchor</t>
  </si>
  <si>
    <t>Ολιγόλεπτες παρουσιάσεις πτυχιακών και ερευνών φοιτητών που αφορούν την αγορά την οποία στοχεύουν οι ίδιοι.</t>
  </si>
  <si>
    <t>Κατερίνα Τούντα, με startup idea βραβευμένη στο Falling Walls Lab Athens, και regrape project</t>
  </si>
  <si>
    <t>Informatics | BioHealth</t>
  </si>
  <si>
    <t>Η πληροφορική στον χώρο της βιοϋγείας και παρουσίαση του μεταπτυχιακού προγράμματος «Ψηφιακή Ιατρική» του Πανεπιστημίου Ιωαννίνων.</t>
  </si>
  <si>
    <t>Δημήτριος Φωτιάδης, Καθηγητής, Τμήμα Μηχανικών Επιστήμης Υλικών, Διευθυντής του ΔΠΜΣ «Ψηφιακή Ιατρική», Πανεπιστήμιο Ιωαννίνων</t>
  </si>
  <si>
    <t>Οικοσύστημα Ιωαννίνων</t>
  </si>
  <si>
    <t>Προέλευση και δημιουργία της κοινότητας Ψηφιακών Νομάδων. Παρόν και μέλλον του οικοσυστήματος των Ιωαννίνων.</t>
  </si>
  <si>
    <t>κ. Γκούτλας, Κοινότητα Ψηφιακών Νομάδων Ιωαννίνων</t>
  </si>
  <si>
    <t>Κλείσιμο | Ευχαριστίες | Networking</t>
  </si>
  <si>
    <t>Βράβευση της καλύτερης BMC ιδέας και του καλύτερου pitch deck, που επιλέγονται από κριτική επιτροπή αποτελούμενη από τους ομιλητές της ημέρας.</t>
  </si>
  <si>
    <t>Οργανωτική επιτροπή</t>
  </si>
  <si>
    <t>Η μετάβαση από τις σπουδές στην αγορά εργασίας αλλά και στα soft skills που χρειάζεται κάποιος. Τόσο στο επιχειρείν όσο και στη καριέρα του. Η ενότητα βρίσκεται υπό διαμόρφωση.</t>
  </si>
  <si>
    <t xml:space="preserve">Υπό διαμόρφωση </t>
  </si>
  <si>
    <t xml:space="preserve">Βίτσος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</si>
</sst>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\.mm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1"/>
      <color rgb="FF404040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2" applyNumberFormat="0" applyAlignment="0" applyProtection="0"/>
    <xf numFmtId="0" fontId="11" fillId="8" borderId="0" applyNumberFormat="0" applyBorder="0" applyAlignment="0" applyProtection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 indent="1"/>
    </xf>
    <xf numFmtId="0" fontId="5" fillId="3" borderId="1" xfId="0" applyFont="1" applyFill="1" applyBorder="1" applyAlignment="1">
      <alignment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 indent="1"/>
    </xf>
    <xf numFmtId="0" fontId="7" fillId="0" borderId="1" xfId="0" applyFont="1" applyBorder="1" applyAlignment="1">
      <alignment vertical="center" wrapText="1" indent="1"/>
    </xf>
    <xf numFmtId="0" fontId="7" fillId="0" borderId="1" xfId="0" applyFont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5" borderId="1" xfId="1" applyBorder="1" applyAlignment="1">
      <alignment vertical="center" wrapText="1" indent="1"/>
    </xf>
    <xf numFmtId="0" fontId="10" fillId="7" borderId="2" xfId="3" applyAlignment="1">
      <alignment vertical="center" wrapText="1" indent="1"/>
    </xf>
    <xf numFmtId="0" fontId="9" fillId="6" borderId="1" xfId="2" applyBorder="1" applyAlignment="1">
      <alignment vertical="center" wrapText="1" indent="1"/>
    </xf>
    <xf numFmtId="0" fontId="11" fillId="8" borderId="1" xfId="4" applyBorder="1" applyAlignment="1">
      <alignment vertical="center" wrapText="1" indent="1"/>
    </xf>
    <xf numFmtId="0" fontId="8" fillId="5" borderId="2" xfId="1" applyBorder="1" applyAlignment="1">
      <alignment vertical="center" wrapText="1" indent="1"/>
    </xf>
  </cellXfs>
  <cellStyles count="5">
    <cellStyle name="Accent3" xfId="4" builtinId="37"/>
    <cellStyle name="Bad" xfId="2" builtinId="27"/>
    <cellStyle name="Good" xfId="1" builtinId="26"/>
    <cellStyle name="Normal" xfId="0" builtinId="0"/>
    <cellStyle name="Output" xfId="3" builtinId="2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showGridLines="0" tabSelected="1" zoomScaleNormal="100" workbookViewId="0">
      <pane ySplit="5" topLeftCell="A21" activePane="bottomLeft" state="frozen"/>
      <selection pane="bottomLeft" activeCell="D23" sqref="D23"/>
    </sheetView>
  </sheetViews>
  <sheetFormatPr defaultColWidth="8.6640625" defaultRowHeight="14.4" x14ac:dyDescent="0.3"/>
  <cols>
    <col min="1" max="2" width="9" customWidth="1"/>
    <col min="3" max="3" width="34" customWidth="1"/>
    <col min="4" max="4" width="62" customWidth="1"/>
    <col min="5" max="5" width="44" customWidth="1"/>
    <col min="6" max="6" width="10" hidden="1" customWidth="1"/>
  </cols>
  <sheetData>
    <row r="1" spans="1:6" ht="24" customHeight="1" x14ac:dyDescent="0.4">
      <c r="A1" s="12" t="s">
        <v>0</v>
      </c>
      <c r="B1" s="12"/>
      <c r="C1" s="12"/>
      <c r="D1" s="12"/>
      <c r="E1" s="12"/>
    </row>
    <row r="2" spans="1:6" x14ac:dyDescent="0.3">
      <c r="A2" s="13" t="s">
        <v>1</v>
      </c>
      <c r="B2" s="13"/>
      <c r="C2" s="13"/>
      <c r="D2" s="13"/>
      <c r="E2" s="13"/>
    </row>
    <row r="3" spans="1:6" x14ac:dyDescent="0.3">
      <c r="A3" s="14" t="s">
        <v>2</v>
      </c>
      <c r="B3" s="14"/>
      <c r="C3" s="14"/>
      <c r="D3" s="14"/>
      <c r="E3" s="14"/>
    </row>
    <row r="5" spans="1:6" ht="19.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4" customHeight="1" x14ac:dyDescent="0.3">
      <c r="A6" s="2">
        <v>0.4375</v>
      </c>
      <c r="B6" s="2">
        <f t="shared" ref="B6:B26" si="0">ROUND((A6+F6/1440)*1440,0)/1440</f>
        <v>0.45833333333333331</v>
      </c>
      <c r="C6" s="3" t="s">
        <v>9</v>
      </c>
      <c r="D6" s="4"/>
      <c r="E6" s="4"/>
      <c r="F6" s="5">
        <v>30</v>
      </c>
    </row>
    <row r="7" spans="1:6" ht="37.5" customHeight="1" x14ac:dyDescent="0.3">
      <c r="A7" s="6">
        <f t="shared" ref="A7:A26" si="1">B6</f>
        <v>0.45833333333333331</v>
      </c>
      <c r="B7" s="6">
        <f t="shared" si="0"/>
        <v>0.47569444444444442</v>
      </c>
      <c r="C7" s="7" t="s">
        <v>10</v>
      </c>
      <c r="D7" s="8" t="s">
        <v>11</v>
      </c>
      <c r="E7" s="15" t="s">
        <v>12</v>
      </c>
      <c r="F7" s="9">
        <v>25</v>
      </c>
    </row>
    <row r="8" spans="1:6" ht="37.5" customHeight="1" x14ac:dyDescent="0.3">
      <c r="A8" s="6">
        <f t="shared" si="1"/>
        <v>0.47569444444444442</v>
      </c>
      <c r="B8" s="6">
        <f t="shared" si="0"/>
        <v>0.5</v>
      </c>
      <c r="C8" s="7" t="s">
        <v>13</v>
      </c>
      <c r="D8" s="8" t="s">
        <v>14</v>
      </c>
      <c r="E8" s="15" t="s">
        <v>15</v>
      </c>
      <c r="F8" s="9">
        <v>35</v>
      </c>
    </row>
    <row r="9" spans="1:6" ht="37.5" customHeight="1" x14ac:dyDescent="0.3">
      <c r="A9" s="6">
        <f t="shared" si="1"/>
        <v>0.5</v>
      </c>
      <c r="B9" s="6">
        <f t="shared" si="0"/>
        <v>0.51736111111111116</v>
      </c>
      <c r="C9" s="7" t="s">
        <v>16</v>
      </c>
      <c r="D9" s="8" t="s">
        <v>17</v>
      </c>
      <c r="E9" s="15" t="s">
        <v>18</v>
      </c>
      <c r="F9" s="9">
        <v>25</v>
      </c>
    </row>
    <row r="10" spans="1:6" ht="24" customHeight="1" x14ac:dyDescent="0.3">
      <c r="A10" s="6">
        <f t="shared" si="1"/>
        <v>0.51736111111111116</v>
      </c>
      <c r="B10" s="6">
        <f t="shared" si="0"/>
        <v>0.52430555555555558</v>
      </c>
      <c r="C10" s="7" t="s">
        <v>19</v>
      </c>
      <c r="D10" s="8" t="s">
        <v>20</v>
      </c>
      <c r="E10" s="16" t="s">
        <v>21</v>
      </c>
      <c r="F10" s="9">
        <v>10</v>
      </c>
    </row>
    <row r="11" spans="1:6" ht="51.75" customHeight="1" x14ac:dyDescent="0.3">
      <c r="A11" s="6">
        <f t="shared" si="1"/>
        <v>0.52430555555555558</v>
      </c>
      <c r="B11" s="6">
        <f t="shared" si="0"/>
        <v>0.54861111111111116</v>
      </c>
      <c r="C11" s="7" t="s">
        <v>22</v>
      </c>
      <c r="D11" s="8" t="s">
        <v>23</v>
      </c>
      <c r="E11" s="15" t="s">
        <v>24</v>
      </c>
      <c r="F11" s="9">
        <v>35</v>
      </c>
    </row>
    <row r="12" spans="1:6" ht="37.5" customHeight="1" x14ac:dyDescent="0.3">
      <c r="A12" s="6">
        <f t="shared" si="1"/>
        <v>0.54861111111111116</v>
      </c>
      <c r="B12" s="6">
        <f t="shared" si="0"/>
        <v>0.5625</v>
      </c>
      <c r="C12" s="7" t="s">
        <v>25</v>
      </c>
      <c r="D12" s="8" t="s">
        <v>26</v>
      </c>
      <c r="E12" s="19" t="s">
        <v>27</v>
      </c>
      <c r="F12" s="9">
        <v>20</v>
      </c>
    </row>
    <row r="13" spans="1:6" ht="37.5" customHeight="1" x14ac:dyDescent="0.3">
      <c r="A13" s="6">
        <f t="shared" si="1"/>
        <v>0.5625</v>
      </c>
      <c r="B13" s="6">
        <f t="shared" si="0"/>
        <v>0.57638888888888884</v>
      </c>
      <c r="C13" s="7" t="s">
        <v>28</v>
      </c>
      <c r="D13" s="8" t="s">
        <v>29</v>
      </c>
      <c r="E13" s="17" t="s">
        <v>30</v>
      </c>
      <c r="F13" s="9">
        <v>20</v>
      </c>
    </row>
    <row r="14" spans="1:6" ht="66" customHeight="1" x14ac:dyDescent="0.3">
      <c r="A14" s="6">
        <f t="shared" si="1"/>
        <v>0.57638888888888884</v>
      </c>
      <c r="B14" s="6">
        <f t="shared" si="0"/>
        <v>0.59027777777777779</v>
      </c>
      <c r="C14" s="7" t="s">
        <v>31</v>
      </c>
      <c r="D14" s="8" t="s">
        <v>32</v>
      </c>
      <c r="E14" s="15" t="s">
        <v>33</v>
      </c>
      <c r="F14" s="9">
        <v>20</v>
      </c>
    </row>
    <row r="15" spans="1:6" ht="37.5" customHeight="1" x14ac:dyDescent="0.3">
      <c r="A15" s="2">
        <f t="shared" si="1"/>
        <v>0.59027777777777779</v>
      </c>
      <c r="B15" s="2">
        <f t="shared" si="0"/>
        <v>0.61805555555555558</v>
      </c>
      <c r="C15" s="3" t="s">
        <v>34</v>
      </c>
      <c r="D15" s="4" t="s">
        <v>35</v>
      </c>
      <c r="E15" s="15" t="s">
        <v>36</v>
      </c>
      <c r="F15" s="5">
        <v>40</v>
      </c>
    </row>
    <row r="16" spans="1:6" ht="37.5" customHeight="1" x14ac:dyDescent="0.3">
      <c r="A16" s="10">
        <f t="shared" si="1"/>
        <v>0.61805555555555558</v>
      </c>
      <c r="B16" s="10">
        <f t="shared" si="0"/>
        <v>0.63888888888888884</v>
      </c>
      <c r="C16" s="18" t="s">
        <v>37</v>
      </c>
      <c r="D16" s="18" t="s">
        <v>38</v>
      </c>
      <c r="E16" s="18" t="s">
        <v>39</v>
      </c>
      <c r="F16" s="11">
        <v>30</v>
      </c>
    </row>
    <row r="17" spans="1:6" ht="37.5" customHeight="1" x14ac:dyDescent="0.3">
      <c r="A17" s="6">
        <f t="shared" si="1"/>
        <v>0.63888888888888884</v>
      </c>
      <c r="B17" s="6">
        <f t="shared" si="0"/>
        <v>0.65972222222222221</v>
      </c>
      <c r="C17" s="7" t="s">
        <v>40</v>
      </c>
      <c r="D17" s="8" t="s">
        <v>41</v>
      </c>
      <c r="E17" s="18" t="s">
        <v>42</v>
      </c>
      <c r="F17" s="9">
        <v>30</v>
      </c>
    </row>
    <row r="18" spans="1:6" ht="39.6" x14ac:dyDescent="0.3">
      <c r="A18" s="6">
        <f t="shared" si="1"/>
        <v>0.65972222222222221</v>
      </c>
      <c r="B18" s="6">
        <f t="shared" si="0"/>
        <v>0.67708333333333337</v>
      </c>
      <c r="C18" s="7" t="s">
        <v>43</v>
      </c>
      <c r="D18" s="8" t="s">
        <v>64</v>
      </c>
      <c r="E18" s="16" t="s">
        <v>65</v>
      </c>
      <c r="F18" s="9">
        <v>25</v>
      </c>
    </row>
    <row r="19" spans="1:6" ht="24" customHeight="1" x14ac:dyDescent="0.3">
      <c r="A19" s="2">
        <f t="shared" si="1"/>
        <v>0.67708333333333337</v>
      </c>
      <c r="B19" s="2">
        <f t="shared" si="0"/>
        <v>0.6875</v>
      </c>
      <c r="C19" s="3" t="s">
        <v>44</v>
      </c>
      <c r="D19" s="4"/>
      <c r="E19" s="4"/>
      <c r="F19" s="5">
        <v>15</v>
      </c>
    </row>
    <row r="20" spans="1:6" ht="24" customHeight="1" x14ac:dyDescent="0.3">
      <c r="A20" s="6">
        <f t="shared" si="1"/>
        <v>0.6875</v>
      </c>
      <c r="B20" s="6">
        <f t="shared" si="0"/>
        <v>0.70138888888888884</v>
      </c>
      <c r="C20" s="7" t="s">
        <v>45</v>
      </c>
      <c r="D20" s="8" t="s">
        <v>46</v>
      </c>
      <c r="E20" s="18" t="s">
        <v>66</v>
      </c>
      <c r="F20" s="9">
        <v>20</v>
      </c>
    </row>
    <row r="21" spans="1:6" ht="51.75" customHeight="1" x14ac:dyDescent="0.3">
      <c r="A21" s="6">
        <f t="shared" si="1"/>
        <v>0.70138888888888884</v>
      </c>
      <c r="B21" s="6">
        <f t="shared" si="0"/>
        <v>0.70833333333333337</v>
      </c>
      <c r="C21" s="7" t="s">
        <v>47</v>
      </c>
      <c r="D21" s="8" t="s">
        <v>48</v>
      </c>
      <c r="E21" s="16" t="s">
        <v>47</v>
      </c>
      <c r="F21" s="9">
        <v>10</v>
      </c>
    </row>
    <row r="22" spans="1:6" ht="37.5" customHeight="1" x14ac:dyDescent="0.3">
      <c r="A22" s="6">
        <f t="shared" si="1"/>
        <v>0.70833333333333337</v>
      </c>
      <c r="B22" s="6">
        <f t="shared" si="0"/>
        <v>0.72222222222222221</v>
      </c>
      <c r="C22" s="7" t="s">
        <v>49</v>
      </c>
      <c r="D22" s="8" t="s">
        <v>50</v>
      </c>
      <c r="E22" s="15" t="s">
        <v>51</v>
      </c>
      <c r="F22" s="9">
        <v>20</v>
      </c>
    </row>
    <row r="23" spans="1:6" ht="37.5" customHeight="1" x14ac:dyDescent="0.3">
      <c r="A23" s="6">
        <f t="shared" si="1"/>
        <v>0.72222222222222221</v>
      </c>
      <c r="B23" s="6">
        <f t="shared" si="0"/>
        <v>0.74652777777777779</v>
      </c>
      <c r="C23" s="7" t="s">
        <v>52</v>
      </c>
      <c r="D23" s="8" t="s">
        <v>53</v>
      </c>
      <c r="E23" s="15" t="s">
        <v>54</v>
      </c>
      <c r="F23" s="9">
        <v>35</v>
      </c>
    </row>
    <row r="24" spans="1:6" ht="51.75" customHeight="1" x14ac:dyDescent="0.3">
      <c r="A24" s="6">
        <f t="shared" si="1"/>
        <v>0.74652777777777779</v>
      </c>
      <c r="B24" s="6">
        <f t="shared" si="0"/>
        <v>0.76041666666666663</v>
      </c>
      <c r="C24" s="7" t="s">
        <v>55</v>
      </c>
      <c r="D24" s="8" t="s">
        <v>56</v>
      </c>
      <c r="E24" s="16" t="s">
        <v>57</v>
      </c>
      <c r="F24" s="9">
        <v>20</v>
      </c>
    </row>
    <row r="25" spans="1:6" ht="37.5" customHeight="1" x14ac:dyDescent="0.3">
      <c r="A25" s="6">
        <f t="shared" si="1"/>
        <v>0.76041666666666663</v>
      </c>
      <c r="B25" s="6">
        <f t="shared" si="0"/>
        <v>0.77430555555555558</v>
      </c>
      <c r="C25" s="7" t="s">
        <v>58</v>
      </c>
      <c r="D25" s="8" t="s">
        <v>59</v>
      </c>
      <c r="E25" s="16" t="s">
        <v>60</v>
      </c>
      <c r="F25" s="9">
        <v>20</v>
      </c>
    </row>
    <row r="26" spans="1:6" ht="37.5" customHeight="1" x14ac:dyDescent="0.3">
      <c r="A26" s="6">
        <f t="shared" si="1"/>
        <v>0.77430555555555558</v>
      </c>
      <c r="B26" s="6">
        <f t="shared" si="0"/>
        <v>0.79166666666666663</v>
      </c>
      <c r="C26" s="7" t="s">
        <v>61</v>
      </c>
      <c r="D26" s="8" t="s">
        <v>62</v>
      </c>
      <c r="E26" s="15" t="s">
        <v>63</v>
      </c>
      <c r="F26" s="9">
        <v>25</v>
      </c>
    </row>
  </sheetData>
  <mergeCells count="3">
    <mergeCell ref="A1:E1"/>
    <mergeCell ref="A2:E2"/>
    <mergeCell ref="A3:E3"/>
  </mergeCells>
  <printOptions horizontalCentered="1"/>
  <pageMargins left="0.4" right="0.4" top="0.5" bottom="0.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Draft Agenda</vt:lpstr>
      <vt:lpstr>'Draft Agenda'!Print_Area</vt:lpstr>
      <vt:lpstr>'Draft Agenda'!Print_Titles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FOTIOS-ANTONIOS KAPSASKIS</cp:lastModifiedBy>
  <cp:revision>0</cp:revision>
  <dcterms:created xsi:type="dcterms:W3CDTF">2026-10-12T12:01:31Z</dcterms:created>
  <dcterms:modified xsi:type="dcterms:W3CDTF">2026-10-14T17:06:46Z</dcterms:modified>
  <dc:language>en-US</dc:language>
</cp:coreProperties>
</file>